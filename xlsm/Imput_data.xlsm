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natic\PycharmProjects\jupiter\corrosion-tool\"/>
    </mc:Choice>
  </mc:AlternateContent>
  <xr:revisionPtr revIDLastSave="0" documentId="13_ncr:1_{B3D1ED61-1442-4B75-88AF-25B1A22DA522}" xr6:coauthVersionLast="47" xr6:coauthVersionMax="47" xr10:uidLastSave="{00000000-0000-0000-0000-000000000000}"/>
  <bookViews>
    <workbookView xWindow="-110" yWindow="-110" windowWidth="22620" windowHeight="13500" xr2:uid="{00000000-000D-0000-FFFF-FFFF00000000}"/>
  </bookViews>
  <sheets>
    <sheet name="2. Solve" sheetId="2" r:id="rId1"/>
  </sheets>
  <definedNames>
    <definedName name="Material">#REF!</definedName>
    <definedName name="Давление_на_выходе">#REF!</definedName>
    <definedName name="Коэффициент_J">#REF!</definedName>
    <definedName name="Коэффициент_T">#REF!</definedName>
    <definedName name="Коэффициент_местоположения_L">#REF!</definedName>
    <definedName name="расхо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" l="1"/>
  <c r="B24" i="2"/>
  <c r="B2" i="2"/>
</calcChain>
</file>

<file path=xl/sharedStrings.xml><?xml version="1.0" encoding="utf-8"?>
<sst xmlns="http://schemas.openxmlformats.org/spreadsheetml/2006/main" count="19" uniqueCount="19">
  <si>
    <t>Диаметр трубопровода, м</t>
  </si>
  <si>
    <t>Длина участка трубопровода, м</t>
  </si>
  <si>
    <t>температура, К</t>
  </si>
  <si>
    <t>входное давление, Па</t>
  </si>
  <si>
    <t>Шероховатость, м</t>
  </si>
  <si>
    <t>Плотность компонента 1,кг/м3</t>
  </si>
  <si>
    <t>Вязкость компонента 1, Па*с</t>
  </si>
  <si>
    <t>Плотность компонента 2,кг/м3</t>
  </si>
  <si>
    <t>Вязкость компонента 2, Па*с</t>
  </si>
  <si>
    <t>Компонент 1</t>
  </si>
  <si>
    <t>Компонент 2</t>
  </si>
  <si>
    <t>метан</t>
  </si>
  <si>
    <t>H2O</t>
  </si>
  <si>
    <t>расход,м3/ч</t>
  </si>
  <si>
    <t>скорость, м/с</t>
  </si>
  <si>
    <t>Молярная масса компонента 2, кг/моль</t>
  </si>
  <si>
    <t>Молярная масса компонента 1, кг/моль</t>
  </si>
  <si>
    <t>Процентное соотношение масс для компонента 1</t>
  </si>
  <si>
    <t>Процентное соотношение масс для компонента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</si>
</sst>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wrapText="1" shrinkToFit="1"/>
    </xf>
    <xf numFmtId="0" fontId="0" fillId="0" borderId="7" xfId="0" applyBorder="1"/>
    <xf numFmtId="0" fontId="0" fillId="0" borderId="8" xfId="0" applyBorder="1"/>
    <xf numFmtId="0" fontId="0" fillId="0" borderId="6" xfId="0" applyBorder="1" applyAlignment="1">
      <alignment wrapText="1" shrinkToFit="1"/>
    </xf>
    <xf numFmtId="0" fontId="0" fillId="0" borderId="6" xfId="0" applyBorder="1" applyAlignment="1">
      <alignment horizontal="center" vertical="center"/>
    </xf>
    <xf numFmtId="11" fontId="0" fillId="0" borderId="6" xfId="0" applyNumberFormat="1" applyBorder="1"/>
    <xf numFmtId="0" fontId="0" fillId="0" borderId="12" xfId="0" applyBorder="1"/>
    <xf numFmtId="11" fontId="0" fillId="0" borderId="0" xfId="0" applyNumberFormat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9" xfId="0" applyFill="1" applyBorder="1"/>
    <xf numFmtId="0" fontId="0" fillId="2" borderId="13" xfId="0" applyFill="1" applyBorder="1"/>
    <xf numFmtId="12" fontId="0" fillId="0" borderId="6" xfId="0" applyNumberFormat="1" applyBorder="1"/>
    <xf numFmtId="0" fontId="0" fillId="2" borderId="0" xfId="0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Обычный" xfId="0" builtinId="0"/>
    <cellStyle name="Обычный 2" xfId="1" xr:uid="{FB8F9810-8FEE-4486-B457-C31AB9C61D0A}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1</xdr:row>
      <xdr:rowOff>38100</xdr:rowOff>
    </xdr:from>
    <xdr:to>
      <xdr:col>6</xdr:col>
      <xdr:colOff>533400</xdr:colOff>
      <xdr:row>4</xdr:row>
      <xdr:rowOff>161925</xdr:rowOff>
    </xdr:to>
    <xdr:sp macro="[0]!Transport.Transport" textlink="">
      <xdr:nvSpPr>
        <xdr:cNvPr id="616" name="Прямоугольник: скругленные углы 615"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SpPr/>
      </xdr:nvSpPr>
      <xdr:spPr>
        <a:xfrm>
          <a:off x="3676650" y="228600"/>
          <a:ext cx="2209800" cy="695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/>
            <a:t>Рассчитать</a:t>
          </a:r>
        </a:p>
      </xdr:txBody>
    </xdr:sp>
    <xdr:clientData/>
  </xdr:twoCellAnchor>
  <xdr:twoCellAnchor>
    <xdr:from>
      <xdr:col>7</xdr:col>
      <xdr:colOff>228600</xdr:colOff>
      <xdr:row>1</xdr:row>
      <xdr:rowOff>38100</xdr:rowOff>
    </xdr:from>
    <xdr:to>
      <xdr:col>11</xdr:col>
      <xdr:colOff>247650</xdr:colOff>
      <xdr:row>4</xdr:row>
      <xdr:rowOff>161925</xdr:rowOff>
    </xdr:to>
    <xdr:sp macro="[0]!ClearAll.ClearAll" textlink="">
      <xdr:nvSpPr>
        <xdr:cNvPr id="655" name="Прямоугольник: скругленные углы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SpPr/>
      </xdr:nvSpPr>
      <xdr:spPr>
        <a:xfrm>
          <a:off x="6191250" y="228600"/>
          <a:ext cx="2457450" cy="695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400"/>
            <a:t>Очистить форму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2BCA2-00F2-481C-BA41-4E2C5F94A307}">
  <sheetPr codeName="Лист2"/>
  <dimension ref="A1:GS37"/>
  <sheetViews>
    <sheetView tabSelected="1" workbookViewId="0">
      <selection activeCell="A9" sqref="A9"/>
    </sheetView>
  </sheetViews>
  <sheetFormatPr defaultRowHeight="14.5" x14ac:dyDescent="0.35"/>
  <cols>
    <col min="1" max="1" width="51.81640625" bestFit="1" customWidth="1"/>
    <col min="2" max="2" width="11" customWidth="1"/>
    <col min="15" max="15" width="9.08984375" customWidth="1"/>
  </cols>
  <sheetData>
    <row r="1" spans="1:16" x14ac:dyDescent="0.35">
      <c r="A1" s="1"/>
      <c r="B1" s="2"/>
      <c r="C1" s="3"/>
    </row>
    <row r="2" spans="1:16" ht="15" thickBot="1" x14ac:dyDescent="0.4">
      <c r="A2" s="6" t="s">
        <v>2</v>
      </c>
      <c r="B2" s="6">
        <f>273+38</f>
        <v>311</v>
      </c>
      <c r="C2" s="4"/>
    </row>
    <row r="3" spans="1:16" ht="15" thickBot="1" x14ac:dyDescent="0.4">
      <c r="A3" s="6" t="s">
        <v>13</v>
      </c>
      <c r="B3" s="6">
        <v>16500</v>
      </c>
      <c r="C3" s="4"/>
      <c r="M3" s="22"/>
      <c r="N3" s="23"/>
      <c r="O3" s="23"/>
      <c r="P3" s="13"/>
    </row>
    <row r="4" spans="1:16" x14ac:dyDescent="0.35">
      <c r="A4" s="6" t="s">
        <v>3</v>
      </c>
      <c r="B4" s="6">
        <v>16250000</v>
      </c>
      <c r="C4" s="4"/>
      <c r="P4" s="14"/>
    </row>
    <row r="5" spans="1:16" x14ac:dyDescent="0.35">
      <c r="A5" s="6" t="s">
        <v>14</v>
      </c>
      <c r="B5" s="20">
        <v>5</v>
      </c>
      <c r="C5" s="4"/>
    </row>
    <row r="6" spans="1:16" x14ac:dyDescent="0.35">
      <c r="C6" s="4"/>
    </row>
    <row r="7" spans="1:16" x14ac:dyDescent="0.35">
      <c r="A7" s="6" t="s">
        <v>9</v>
      </c>
      <c r="B7" s="6" t="s">
        <v>11</v>
      </c>
      <c r="C7" s="4"/>
    </row>
    <row r="8" spans="1:16" x14ac:dyDescent="0.35">
      <c r="A8" s="6" t="s">
        <v>16</v>
      </c>
      <c r="B8" s="6">
        <v>1.6039999999999999E-2</v>
      </c>
      <c r="C8" s="4"/>
    </row>
    <row r="9" spans="1:16" x14ac:dyDescent="0.35">
      <c r="A9" s="6" t="s">
        <v>17</v>
      </c>
      <c r="B9" s="6">
        <v>0.8</v>
      </c>
      <c r="C9" s="4"/>
    </row>
    <row r="10" spans="1:16" x14ac:dyDescent="0.35">
      <c r="A10" s="6" t="s">
        <v>5</v>
      </c>
      <c r="B10" s="6">
        <v>665</v>
      </c>
      <c r="C10" s="4"/>
    </row>
    <row r="11" spans="1:16" x14ac:dyDescent="0.35">
      <c r="A11" s="6" t="s">
        <v>6</v>
      </c>
      <c r="B11" s="6">
        <v>1.1E-5</v>
      </c>
      <c r="C11" s="4"/>
    </row>
    <row r="12" spans="1:16" x14ac:dyDescent="0.35">
      <c r="C12" s="4"/>
    </row>
    <row r="13" spans="1:16" x14ac:dyDescent="0.35">
      <c r="A13" s="6" t="s">
        <v>10</v>
      </c>
      <c r="B13" s="6" t="s">
        <v>12</v>
      </c>
      <c r="C13" s="4"/>
    </row>
    <row r="14" spans="1:16" x14ac:dyDescent="0.35">
      <c r="A14" s="6" t="s">
        <v>15</v>
      </c>
      <c r="B14" s="6">
        <v>1.8015E-2</v>
      </c>
      <c r="C14" s="4"/>
    </row>
    <row r="15" spans="1:16" x14ac:dyDescent="0.35">
      <c r="A15" s="6" t="s">
        <v>18</v>
      </c>
      <c r="B15" s="6">
        <v>0.2</v>
      </c>
      <c r="C15" s="4"/>
    </row>
    <row r="16" spans="1:16" x14ac:dyDescent="0.35">
      <c r="A16" s="6" t="s">
        <v>7</v>
      </c>
      <c r="B16" s="6">
        <v>997</v>
      </c>
      <c r="C16" s="4"/>
    </row>
    <row r="17" spans="1:201" ht="15" thickBot="1" x14ac:dyDescent="0.4">
      <c r="A17" s="6" t="s">
        <v>8</v>
      </c>
      <c r="B17" s="6">
        <v>8.8999999999999995E-4</v>
      </c>
      <c r="C17" s="5"/>
    </row>
    <row r="18" spans="1:201" x14ac:dyDescent="0.35">
      <c r="A18" s="19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201" ht="15" thickBot="1" x14ac:dyDescent="0.4">
      <c r="A19" s="18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201" x14ac:dyDescent="0.3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</row>
    <row r="21" spans="1:201" ht="33.75" customHeight="1" x14ac:dyDescent="0.35">
      <c r="A21" s="8"/>
      <c r="B21" s="7"/>
    </row>
    <row r="22" spans="1:201" x14ac:dyDescent="0.35">
      <c r="A22" s="6" t="s">
        <v>1</v>
      </c>
      <c r="B22" s="6">
        <v>16500</v>
      </c>
      <c r="C22" s="6">
        <v>56000</v>
      </c>
      <c r="D22" s="6">
        <v>35000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</row>
    <row r="23" spans="1:201" x14ac:dyDescent="0.35">
      <c r="A23" s="6" t="s">
        <v>4</v>
      </c>
      <c r="B23" s="6">
        <v>1.5E-5</v>
      </c>
      <c r="C23" s="6">
        <v>1.5E-5</v>
      </c>
      <c r="D23" s="6">
        <v>1.5E-5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</row>
    <row r="24" spans="1:201" x14ac:dyDescent="0.35">
      <c r="A24" s="6" t="s">
        <v>0</v>
      </c>
      <c r="B24" s="6">
        <f>426-40</f>
        <v>386</v>
      </c>
      <c r="C24" s="6">
        <f>530-48</f>
        <v>482</v>
      </c>
      <c r="D24" s="6">
        <v>386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</row>
    <row r="25" spans="1:201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</row>
    <row r="26" spans="1:201" x14ac:dyDescent="0.35">
      <c r="A26" s="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</row>
    <row r="27" spans="1:201" x14ac:dyDescent="0.35">
      <c r="A27" s="10"/>
      <c r="B27" s="6"/>
      <c r="C27" s="11"/>
      <c r="D27" s="6"/>
      <c r="E27" s="11"/>
      <c r="F27" s="6"/>
      <c r="G27" s="11"/>
      <c r="H27" s="6"/>
      <c r="I27" s="11"/>
      <c r="J27" s="6"/>
      <c r="K27" s="11"/>
      <c r="L27" s="6"/>
      <c r="M27" s="11"/>
      <c r="N27" s="6"/>
      <c r="O27" s="11"/>
      <c r="P27" s="6"/>
      <c r="Q27" s="11"/>
      <c r="R27" s="6"/>
      <c r="S27" s="11"/>
      <c r="T27" s="6"/>
      <c r="U27" s="15"/>
      <c r="V27" s="6"/>
      <c r="W27" s="15"/>
      <c r="X27" s="6"/>
      <c r="Y27" s="15"/>
      <c r="Z27" s="6"/>
      <c r="AA27" s="15"/>
      <c r="AB27" s="6"/>
      <c r="AC27" s="15"/>
      <c r="AD27" s="6"/>
      <c r="AE27" s="15"/>
      <c r="AF27" s="6"/>
      <c r="AG27" s="15"/>
      <c r="AH27" s="6"/>
      <c r="AI27" s="15"/>
      <c r="AJ27" s="6"/>
      <c r="AK27" s="15"/>
      <c r="AL27" s="6"/>
      <c r="AM27" s="15"/>
      <c r="AN27" s="6"/>
      <c r="AO27" s="15"/>
      <c r="AP27" s="6"/>
      <c r="AQ27" s="15"/>
      <c r="AR27" s="6"/>
      <c r="AS27" s="15"/>
      <c r="AT27" s="6"/>
      <c r="AU27" s="15"/>
      <c r="AV27" s="6"/>
      <c r="AW27" s="15"/>
      <c r="AX27" s="6"/>
      <c r="AY27" s="15"/>
      <c r="AZ27" s="6"/>
      <c r="BA27" s="15"/>
      <c r="BB27" s="6"/>
      <c r="BC27" s="15"/>
      <c r="BD27" s="6"/>
      <c r="BE27" s="15"/>
      <c r="BF27" s="6"/>
      <c r="BG27" s="15"/>
      <c r="BH27" s="6"/>
      <c r="BI27" s="15"/>
      <c r="BJ27" s="6"/>
      <c r="BK27" s="15"/>
      <c r="BL27" s="6"/>
      <c r="BM27" s="15"/>
      <c r="BN27" s="6"/>
      <c r="BO27" s="15"/>
      <c r="BP27" s="6"/>
      <c r="BQ27" s="15"/>
      <c r="BR27" s="6"/>
      <c r="BS27" s="15"/>
      <c r="BT27" s="6"/>
      <c r="BU27" s="15"/>
      <c r="BV27" s="6"/>
      <c r="BW27" s="15"/>
      <c r="BX27" s="6"/>
      <c r="BY27" s="15"/>
      <c r="BZ27" s="6"/>
      <c r="CA27" s="15"/>
      <c r="CB27" s="6"/>
      <c r="CC27" s="15"/>
      <c r="CD27" s="6"/>
      <c r="CE27" s="15"/>
      <c r="CF27" s="6"/>
      <c r="CG27" s="16"/>
      <c r="CI27" s="16"/>
      <c r="CK27" s="16"/>
      <c r="CM27" s="16"/>
      <c r="CO27" s="16"/>
      <c r="CQ27" s="16"/>
      <c r="CS27" s="16"/>
      <c r="CU27" s="16"/>
      <c r="CW27" s="16"/>
      <c r="CY27" s="16"/>
      <c r="DA27" s="16"/>
      <c r="DC27" s="16"/>
      <c r="DE27" s="16"/>
      <c r="DG27" s="16"/>
      <c r="DI27" s="16"/>
      <c r="DK27" s="16"/>
      <c r="DM27" s="16"/>
      <c r="DO27" s="16"/>
      <c r="DQ27" s="16"/>
      <c r="DS27" s="16"/>
      <c r="DU27" s="16"/>
      <c r="DW27" s="16"/>
      <c r="DY27" s="16"/>
      <c r="EA27" s="16"/>
      <c r="EC27" s="16"/>
      <c r="EE27" s="16"/>
      <c r="EG27" s="16"/>
      <c r="EI27" s="16"/>
      <c r="EK27" s="16"/>
      <c r="EM27" s="16"/>
      <c r="EO27" s="16"/>
      <c r="EQ27" s="16"/>
      <c r="ES27" s="16"/>
      <c r="EU27" s="16"/>
      <c r="EW27" s="16"/>
      <c r="EY27" s="16"/>
      <c r="FA27" s="16"/>
      <c r="FC27" s="16"/>
      <c r="FE27" s="16"/>
      <c r="FG27" s="16"/>
      <c r="FI27" s="16"/>
      <c r="FK27" s="16"/>
      <c r="FM27" s="16"/>
      <c r="FO27" s="16"/>
      <c r="FQ27" s="16"/>
      <c r="FS27" s="16"/>
      <c r="FU27" s="16"/>
      <c r="FW27" s="16"/>
      <c r="FY27" s="16"/>
      <c r="GA27" s="16"/>
      <c r="GC27" s="16"/>
      <c r="GE27" s="16"/>
      <c r="GG27" s="16"/>
      <c r="GI27" s="16"/>
      <c r="GK27" s="16"/>
      <c r="GM27" s="16"/>
      <c r="GO27" s="16"/>
      <c r="GQ27" s="16"/>
      <c r="GS27" s="16"/>
    </row>
    <row r="28" spans="1:201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</row>
    <row r="29" spans="1:201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</row>
    <row r="30" spans="1:201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</row>
    <row r="31" spans="1:201" x14ac:dyDescent="0.35">
      <c r="A31" s="6"/>
      <c r="B31" s="12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</row>
    <row r="32" spans="1:201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</row>
    <row r="33" spans="1:84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</row>
    <row r="34" spans="1:84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</row>
    <row r="35" spans="1:84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</row>
    <row r="36" spans="1:84" x14ac:dyDescent="0.35">
      <c r="G36" s="14"/>
    </row>
    <row r="37" spans="1:84" x14ac:dyDescent="0.35">
      <c r="G37" s="14"/>
    </row>
  </sheetData>
  <mergeCells count="2">
    <mergeCell ref="A20:R20"/>
    <mergeCell ref="M3:O3"/>
  </mergeCells>
  <phoneticPr fontId="2" type="noConversion"/>
  <dataValidations count="1">
    <dataValidation type="list" allowBlank="1" showInputMessage="1" showErrorMessage="1" sqref="A19" xr:uid="{BBE75F40-B3B9-425A-9347-B824AB60EE05}">
      <formula1>Material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2. Solve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krukp</dc:creator>
  <cp:lastModifiedBy>Мирончук Юлиана Борисовна</cp:lastModifiedBy>
  <dcterms:created xsi:type="dcterms:W3CDTF">2015-06-05T18:17:20Z</dcterms:created>
  <dcterms:modified xsi:type="dcterms:W3CDTF">2023-10-24T22:36:47Z</dcterms:modified>
</cp:coreProperties>
</file>